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e239e922142ee3/Documents/datamites project/project profit analysis/"/>
    </mc:Choice>
  </mc:AlternateContent>
  <xr:revisionPtr revIDLastSave="2" documentId="8_{50353128-C7BB-422A-9DED-EE00CB6A4E80}" xr6:coauthVersionLast="47" xr6:coauthVersionMax="47" xr10:uidLastSave="{3C999263-6AAC-45B0-B4C3-6B9B84C9C75E}"/>
  <bookViews>
    <workbookView xWindow="-110" yWindow="-110" windowWidth="19420" windowHeight="11020" xr2:uid="{2AFA2265-10D7-4E07-A0E6-6F62EFC649F5}"/>
  </bookViews>
  <sheets>
    <sheet name="startup" sheetId="2" r:id="rId1"/>
    <sheet name="Sheet1" sheetId="1" r:id="rId2"/>
  </sheets>
  <definedNames>
    <definedName name="ExternalData_1" localSheetId="0" hidden="1">startup!$A$1:$E$51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startup!$J$57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2" l="1"/>
  <c r="M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933B0-648F-42C5-9138-70F707AF344D}" keepAlive="1" name="Query - startup" description="Connection to the 'startup' query in the workbook." type="5" refreshedVersion="8" background="1" saveData="1">
    <dbPr connection="Provider=Microsoft.Mashup.OleDb.1;Data Source=$Workbook$;Location=startup;Extended Properties=&quot;&quot;" command="SELECT * FROM [startup]"/>
  </connection>
</connections>
</file>

<file path=xl/sharedStrings.xml><?xml version="1.0" encoding="utf-8"?>
<sst xmlns="http://schemas.openxmlformats.org/spreadsheetml/2006/main" count="88" uniqueCount="33">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</sst>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3" xfId="0" applyFont="1" applyFill="1" applyBorder="1"/>
    <xf numFmtId="0" fontId="0" fillId="0" borderId="3" xfId="0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276D67-C396-41AD-A177-65BF501E9F23}" autoFormatId="16" applyNumberFormats="0" applyBorderFormats="0" applyFontFormats="0" applyPatternFormats="0" applyAlignmentFormats="0" applyWidthHeightFormats="0">
  <queryTableRefresh nextId="6">
    <queryTableFields count="5">
      <queryTableField id="1" name="RD_Spend" tableColumnId="1"/>
      <queryTableField id="2" name="Administration" tableColumnId="2"/>
      <queryTableField id="3" name="Marketing_Spend" tableColumnId="3"/>
      <queryTableField id="4" name="State" tableColumnId="4"/>
      <queryTableField id="5" name="Prof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5DE51-0C29-4310-A6DF-8D45B47007D4}" name="startup" displayName="startup" ref="A1:E51" tableType="queryTable" totalsRowShown="0">
  <autoFilter ref="A1:E51" xr:uid="{4545DE51-0C29-4310-A6DF-8D45B47007D4}"/>
  <tableColumns count="5">
    <tableColumn id="1" xr3:uid="{BEF77EE1-AAEB-47B5-B875-37F8EEA72FB2}" uniqueName="1" name="RD_Spend" queryTableFieldId="1"/>
    <tableColumn id="2" xr3:uid="{C95FE3A9-4225-47C0-A9DB-7D1084C5AA4A}" uniqueName="2" name="Administration" queryTableFieldId="2"/>
    <tableColumn id="3" xr3:uid="{93943BEE-8D4D-406C-B50D-33571CE5F858}" uniqueName="3" name="Marketing_Spend" queryTableFieldId="3"/>
    <tableColumn id="4" xr3:uid="{FB9FBD09-46D9-455D-A1C1-AC84C3FACECA}" uniqueName="4" name="State" queryTableFieldId="4" dataDxfId="0"/>
    <tableColumn id="5" xr3:uid="{E26C79B6-BF47-44DF-9E65-3441E95F8CE1}" uniqueName="5" name="Profi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DF2A-90B8-4CA8-87AC-FEBF87BA75EE}">
  <dimension ref="A1:S79"/>
  <sheetViews>
    <sheetView tabSelected="1" zoomScale="86" workbookViewId="0">
      <selection activeCell="M43" sqref="M43"/>
    </sheetView>
  </sheetViews>
  <sheetFormatPr defaultRowHeight="14.5" x14ac:dyDescent="0.35"/>
  <cols>
    <col min="1" max="1" width="11.6328125" bestFit="1" customWidth="1"/>
    <col min="2" max="2" width="15.81640625" bestFit="1" customWidth="1"/>
    <col min="3" max="3" width="18.1796875" bestFit="1" customWidth="1"/>
    <col min="4" max="4" width="11.81640625" bestFit="1" customWidth="1"/>
    <col min="5" max="5" width="10" bestFit="1" customWidth="1"/>
    <col min="6" max="6" width="12.54296875" bestFit="1" customWidth="1"/>
    <col min="7" max="7" width="11.90625" bestFit="1" customWidth="1"/>
    <col min="8" max="9" width="8.81640625" bestFit="1" customWidth="1"/>
    <col min="10" max="10" width="17.26953125" bestFit="1" customWidth="1"/>
    <col min="11" max="11" width="13.6328125" bestFit="1" customWidth="1"/>
    <col min="12" max="12" width="16" bestFit="1" customWidth="1"/>
    <col min="13" max="13" width="11.90625" bestFit="1" customWidth="1"/>
    <col min="14" max="14" width="8.90625" bestFit="1" customWidth="1"/>
    <col min="15" max="15" width="12.7265625" bestFit="1" customWidth="1"/>
    <col min="16" max="18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5">
      <c r="A2">
        <v>165349.20000000001</v>
      </c>
      <c r="B2">
        <v>136897.79999999999</v>
      </c>
      <c r="C2">
        <v>471784.1</v>
      </c>
      <c r="D2" s="1" t="s">
        <v>5</v>
      </c>
      <c r="E2">
        <v>192261.83</v>
      </c>
    </row>
    <row r="3" spans="1:10" x14ac:dyDescent="0.35">
      <c r="A3">
        <v>162597.70000000001</v>
      </c>
      <c r="B3">
        <v>151377.59</v>
      </c>
      <c r="C3">
        <v>443898.53</v>
      </c>
      <c r="D3" s="1" t="s">
        <v>6</v>
      </c>
      <c r="E3">
        <v>191792.06</v>
      </c>
    </row>
    <row r="4" spans="1:10" x14ac:dyDescent="0.35">
      <c r="A4">
        <v>153441.51</v>
      </c>
      <c r="B4">
        <v>101145.55</v>
      </c>
      <c r="C4">
        <v>407934.54</v>
      </c>
      <c r="D4" s="1" t="s">
        <v>7</v>
      </c>
      <c r="E4">
        <v>191050.39</v>
      </c>
    </row>
    <row r="5" spans="1:10" x14ac:dyDescent="0.35">
      <c r="A5">
        <v>144372.41</v>
      </c>
      <c r="B5">
        <v>118671.85</v>
      </c>
      <c r="C5">
        <v>383199.62</v>
      </c>
      <c r="D5" s="1" t="s">
        <v>5</v>
      </c>
      <c r="E5">
        <v>182901.99</v>
      </c>
    </row>
    <row r="6" spans="1:10" x14ac:dyDescent="0.35">
      <c r="A6">
        <v>142107.34</v>
      </c>
      <c r="B6">
        <v>91391.77</v>
      </c>
      <c r="C6">
        <v>366168.42</v>
      </c>
      <c r="D6" s="1" t="s">
        <v>7</v>
      </c>
      <c r="E6">
        <v>166187.94</v>
      </c>
    </row>
    <row r="7" spans="1:10" x14ac:dyDescent="0.35">
      <c r="A7">
        <v>131876.9</v>
      </c>
      <c r="B7">
        <v>99814.71</v>
      </c>
      <c r="C7">
        <v>362861.36</v>
      </c>
      <c r="D7" s="1" t="s">
        <v>5</v>
      </c>
      <c r="E7">
        <v>156991.12</v>
      </c>
    </row>
    <row r="8" spans="1:10" x14ac:dyDescent="0.35">
      <c r="A8">
        <v>134615.46</v>
      </c>
      <c r="B8">
        <v>147198.87</v>
      </c>
      <c r="C8">
        <v>127716.82</v>
      </c>
      <c r="D8" s="1" t="s">
        <v>6</v>
      </c>
      <c r="E8">
        <v>156122.51</v>
      </c>
    </row>
    <row r="9" spans="1:10" x14ac:dyDescent="0.35">
      <c r="A9">
        <v>130298.13</v>
      </c>
      <c r="B9">
        <v>145530.06</v>
      </c>
      <c r="C9">
        <v>323876.68</v>
      </c>
      <c r="D9" s="1" t="s">
        <v>7</v>
      </c>
      <c r="E9">
        <v>155752.6</v>
      </c>
    </row>
    <row r="10" spans="1:10" x14ac:dyDescent="0.35">
      <c r="A10">
        <v>120542.52</v>
      </c>
      <c r="B10">
        <v>148718.95000000001</v>
      </c>
      <c r="C10">
        <v>311613.28999999998</v>
      </c>
      <c r="D10" s="1" t="s">
        <v>5</v>
      </c>
      <c r="E10">
        <v>152211.76999999999</v>
      </c>
    </row>
    <row r="11" spans="1:10" x14ac:dyDescent="0.35">
      <c r="A11">
        <v>123334.88</v>
      </c>
      <c r="B11">
        <v>108679.17</v>
      </c>
      <c r="C11">
        <v>304981.62</v>
      </c>
      <c r="D11" s="1" t="s">
        <v>6</v>
      </c>
      <c r="E11">
        <v>149759.96</v>
      </c>
    </row>
    <row r="12" spans="1:10" x14ac:dyDescent="0.35">
      <c r="A12">
        <v>101913.08</v>
      </c>
      <c r="B12">
        <v>110594.11</v>
      </c>
      <c r="C12">
        <v>229160.95</v>
      </c>
      <c r="D12" s="1" t="s">
        <v>7</v>
      </c>
      <c r="E12">
        <v>146121.95000000001</v>
      </c>
    </row>
    <row r="13" spans="1:10" x14ac:dyDescent="0.35">
      <c r="A13">
        <v>100671.96</v>
      </c>
      <c r="B13">
        <v>91790.61</v>
      </c>
      <c r="C13">
        <v>249744.55</v>
      </c>
      <c r="D13" s="1" t="s">
        <v>6</v>
      </c>
      <c r="E13">
        <v>144259.4</v>
      </c>
    </row>
    <row r="14" spans="1:10" x14ac:dyDescent="0.35">
      <c r="A14">
        <v>93863.75</v>
      </c>
      <c r="B14">
        <v>127320.38</v>
      </c>
      <c r="C14">
        <v>249839.44</v>
      </c>
      <c r="D14" s="1" t="s">
        <v>7</v>
      </c>
      <c r="E14">
        <v>141585.51999999999</v>
      </c>
    </row>
    <row r="15" spans="1:10" x14ac:dyDescent="0.35">
      <c r="A15">
        <v>91992.39</v>
      </c>
      <c r="B15">
        <v>135495.07</v>
      </c>
      <c r="C15">
        <v>252664.93</v>
      </c>
      <c r="D15" s="1" t="s">
        <v>6</v>
      </c>
      <c r="E15">
        <v>134307.35</v>
      </c>
      <c r="J15" t="s">
        <v>8</v>
      </c>
    </row>
    <row r="16" spans="1:10" ht="15" thickBot="1" x14ac:dyDescent="0.4">
      <c r="A16">
        <v>119943.24</v>
      </c>
      <c r="B16">
        <v>156547.42000000001</v>
      </c>
      <c r="C16">
        <v>256512.92</v>
      </c>
      <c r="D16" s="1" t="s">
        <v>7</v>
      </c>
      <c r="E16">
        <v>132602.65</v>
      </c>
    </row>
    <row r="17" spans="1:18" x14ac:dyDescent="0.35">
      <c r="A17">
        <v>114523.61</v>
      </c>
      <c r="B17">
        <v>122616.84</v>
      </c>
      <c r="C17">
        <v>261776.23</v>
      </c>
      <c r="D17" s="1" t="s">
        <v>5</v>
      </c>
      <c r="E17">
        <v>129917.04</v>
      </c>
      <c r="J17" s="5" t="s">
        <v>9</v>
      </c>
      <c r="K17" s="5"/>
    </row>
    <row r="18" spans="1:18" x14ac:dyDescent="0.35">
      <c r="A18">
        <v>78013.11</v>
      </c>
      <c r="B18">
        <v>121597.55</v>
      </c>
      <c r="C18">
        <v>264346.06</v>
      </c>
      <c r="D18" s="1" t="s">
        <v>6</v>
      </c>
      <c r="E18">
        <v>126992.93</v>
      </c>
      <c r="J18" s="2" t="s">
        <v>10</v>
      </c>
      <c r="K18" s="2">
        <v>0.97506204626594128</v>
      </c>
    </row>
    <row r="19" spans="1:18" x14ac:dyDescent="0.35">
      <c r="A19">
        <v>94657.16</v>
      </c>
      <c r="B19">
        <v>145077.57999999999</v>
      </c>
      <c r="C19">
        <v>282574.31</v>
      </c>
      <c r="D19" s="1" t="s">
        <v>5</v>
      </c>
      <c r="E19">
        <v>125370.37</v>
      </c>
      <c r="J19" s="2" t="s">
        <v>11</v>
      </c>
      <c r="K19" s="2">
        <v>0.95074599406832461</v>
      </c>
    </row>
    <row r="20" spans="1:18" x14ac:dyDescent="0.35">
      <c r="A20">
        <v>91749.16</v>
      </c>
      <c r="B20">
        <v>114175.79</v>
      </c>
      <c r="C20">
        <v>294919.57</v>
      </c>
      <c r="D20" s="1" t="s">
        <v>7</v>
      </c>
      <c r="E20">
        <v>124266.9</v>
      </c>
      <c r="J20" s="2" t="s">
        <v>12</v>
      </c>
      <c r="K20" s="2">
        <v>0.94753377629017177</v>
      </c>
    </row>
    <row r="21" spans="1:18" x14ac:dyDescent="0.35">
      <c r="A21">
        <v>86419.7</v>
      </c>
      <c r="B21">
        <v>153514.10999999999</v>
      </c>
      <c r="C21">
        <v>0</v>
      </c>
      <c r="D21" s="1" t="s">
        <v>5</v>
      </c>
      <c r="E21">
        <v>122776.86</v>
      </c>
      <c r="J21" s="2" t="s">
        <v>13</v>
      </c>
      <c r="K21" s="2">
        <v>9232.3348370026924</v>
      </c>
    </row>
    <row r="22" spans="1:18" ht="15" thickBot="1" x14ac:dyDescent="0.4">
      <c r="A22">
        <v>76253.86</v>
      </c>
      <c r="B22">
        <v>113867.3</v>
      </c>
      <c r="C22">
        <v>298664.46999999997</v>
      </c>
      <c r="D22" s="1" t="s">
        <v>6</v>
      </c>
      <c r="E22">
        <v>118474.03</v>
      </c>
      <c r="J22" s="3" t="s">
        <v>14</v>
      </c>
      <c r="K22" s="3">
        <v>50</v>
      </c>
    </row>
    <row r="23" spans="1:18" x14ac:dyDescent="0.35">
      <c r="A23">
        <v>78389.47</v>
      </c>
      <c r="B23">
        <v>153773.43</v>
      </c>
      <c r="C23">
        <v>299737.28999999998</v>
      </c>
      <c r="D23" s="1" t="s">
        <v>5</v>
      </c>
      <c r="E23">
        <v>111313.02</v>
      </c>
    </row>
    <row r="24" spans="1:18" ht="15" thickBot="1" x14ac:dyDescent="0.4">
      <c r="A24">
        <v>73994.559999999998</v>
      </c>
      <c r="B24">
        <v>122782.75</v>
      </c>
      <c r="C24">
        <v>303319.26</v>
      </c>
      <c r="D24" s="1" t="s">
        <v>7</v>
      </c>
      <c r="E24">
        <v>110352.25</v>
      </c>
      <c r="J24" t="s">
        <v>15</v>
      </c>
    </row>
    <row r="25" spans="1:18" x14ac:dyDescent="0.35">
      <c r="A25">
        <v>67532.53</v>
      </c>
      <c r="B25">
        <v>105751.03</v>
      </c>
      <c r="C25">
        <v>304768.73</v>
      </c>
      <c r="D25" s="1" t="s">
        <v>7</v>
      </c>
      <c r="E25">
        <v>108733.99</v>
      </c>
      <c r="J25" s="4"/>
      <c r="K25" s="4" t="s">
        <v>20</v>
      </c>
      <c r="L25" s="4" t="s">
        <v>21</v>
      </c>
      <c r="M25" s="4" t="s">
        <v>22</v>
      </c>
      <c r="N25" s="4" t="s">
        <v>23</v>
      </c>
      <c r="O25" s="4" t="s">
        <v>24</v>
      </c>
    </row>
    <row r="26" spans="1:18" x14ac:dyDescent="0.35">
      <c r="A26">
        <v>77044.009999999995</v>
      </c>
      <c r="B26">
        <v>99281.34</v>
      </c>
      <c r="C26">
        <v>140574.81</v>
      </c>
      <c r="D26" s="1" t="s">
        <v>5</v>
      </c>
      <c r="E26">
        <v>108552.04</v>
      </c>
      <c r="J26" s="2" t="s">
        <v>16</v>
      </c>
      <c r="K26" s="2">
        <v>3</v>
      </c>
      <c r="L26" s="2">
        <v>75683964196.192642</v>
      </c>
      <c r="M26" s="2">
        <v>25227988065.397549</v>
      </c>
      <c r="N26" s="2">
        <v>295.97806242610113</v>
      </c>
      <c r="O26" s="2">
        <v>4.5285063201720611E-30</v>
      </c>
    </row>
    <row r="27" spans="1:18" x14ac:dyDescent="0.35">
      <c r="A27">
        <v>64664.71</v>
      </c>
      <c r="B27">
        <v>139553.16</v>
      </c>
      <c r="C27">
        <v>137962.62</v>
      </c>
      <c r="D27" s="1" t="s">
        <v>6</v>
      </c>
      <c r="E27">
        <v>107404.34</v>
      </c>
      <c r="J27" s="2" t="s">
        <v>17</v>
      </c>
      <c r="K27" s="2">
        <v>46</v>
      </c>
      <c r="L27" s="2">
        <v>3920856300.956542</v>
      </c>
      <c r="M27" s="2">
        <v>85236006.542533517</v>
      </c>
      <c r="N27" s="2"/>
      <c r="O27" s="2"/>
    </row>
    <row r="28" spans="1:18" ht="15" thickBot="1" x14ac:dyDescent="0.4">
      <c r="A28">
        <v>75328.87</v>
      </c>
      <c r="B28">
        <v>144135.98000000001</v>
      </c>
      <c r="C28">
        <v>134050.07</v>
      </c>
      <c r="D28" s="1" t="s">
        <v>7</v>
      </c>
      <c r="E28">
        <v>105733.54</v>
      </c>
      <c r="J28" s="3" t="s">
        <v>18</v>
      </c>
      <c r="K28" s="3">
        <v>49</v>
      </c>
      <c r="L28" s="3">
        <v>79604820497.149185</v>
      </c>
      <c r="M28" s="3"/>
      <c r="N28" s="3"/>
      <c r="O28" s="3"/>
    </row>
    <row r="29" spans="1:18" ht="15" thickBot="1" x14ac:dyDescent="0.4">
      <c r="A29">
        <v>72107.600000000006</v>
      </c>
      <c r="B29">
        <v>127864.55</v>
      </c>
      <c r="C29">
        <v>353183.81</v>
      </c>
      <c r="D29" s="1" t="s">
        <v>5</v>
      </c>
      <c r="E29">
        <v>105008.31</v>
      </c>
    </row>
    <row r="30" spans="1:18" x14ac:dyDescent="0.35">
      <c r="A30">
        <v>66051.520000000004</v>
      </c>
      <c r="B30">
        <v>182645.56</v>
      </c>
      <c r="C30">
        <v>118148.2</v>
      </c>
      <c r="D30" s="1" t="s">
        <v>7</v>
      </c>
      <c r="E30">
        <v>103282.38</v>
      </c>
      <c r="J30" s="4"/>
      <c r="K30" s="4" t="s">
        <v>25</v>
      </c>
      <c r="L30" s="4" t="s">
        <v>13</v>
      </c>
      <c r="M30" s="4" t="s">
        <v>26</v>
      </c>
      <c r="N30" s="4" t="s">
        <v>27</v>
      </c>
      <c r="O30" s="4" t="s">
        <v>28</v>
      </c>
      <c r="P30" s="4" t="s">
        <v>29</v>
      </c>
      <c r="Q30" s="4" t="s">
        <v>30</v>
      </c>
      <c r="R30" s="4" t="s">
        <v>31</v>
      </c>
    </row>
    <row r="31" spans="1:18" x14ac:dyDescent="0.35">
      <c r="A31">
        <v>65605.48</v>
      </c>
      <c r="B31">
        <v>153032.06</v>
      </c>
      <c r="C31">
        <v>107138.38</v>
      </c>
      <c r="D31" s="1" t="s">
        <v>5</v>
      </c>
      <c r="E31">
        <v>101004.64</v>
      </c>
      <c r="J31" s="2" t="s">
        <v>19</v>
      </c>
      <c r="K31" s="2">
        <v>50122.192989865282</v>
      </c>
      <c r="L31" s="2">
        <v>6572.3526215324682</v>
      </c>
      <c r="M31" s="2">
        <v>7.6262178668950273</v>
      </c>
      <c r="N31" s="2">
        <v>1.0573791602334319E-9</v>
      </c>
      <c r="O31" s="2">
        <v>36892.733323435998</v>
      </c>
      <c r="P31" s="2">
        <v>63351.652656294566</v>
      </c>
      <c r="Q31" s="2">
        <v>36892.733323435998</v>
      </c>
      <c r="R31" s="2">
        <v>63351.652656294566</v>
      </c>
    </row>
    <row r="32" spans="1:18" x14ac:dyDescent="0.35">
      <c r="A32">
        <v>61994.48</v>
      </c>
      <c r="B32">
        <v>115641.28</v>
      </c>
      <c r="C32">
        <v>91131.24</v>
      </c>
      <c r="D32" s="1" t="s">
        <v>7</v>
      </c>
      <c r="E32">
        <v>99937.59</v>
      </c>
      <c r="J32" s="2" t="s">
        <v>0</v>
      </c>
      <c r="K32" s="2">
        <v>0.80571504991574339</v>
      </c>
      <c r="L32" s="2">
        <v>4.5147269728517771E-2</v>
      </c>
      <c r="M32" s="2">
        <v>17.846373762150328</v>
      </c>
      <c r="N32" s="2">
        <v>2.6349677214705453E-22</v>
      </c>
      <c r="O32" s="2">
        <v>0.71483830937598158</v>
      </c>
      <c r="P32" s="2">
        <v>0.89659179045550519</v>
      </c>
      <c r="Q32" s="2">
        <v>0.71483830937598158</v>
      </c>
      <c r="R32" s="2">
        <v>0.89659179045550519</v>
      </c>
    </row>
    <row r="33" spans="1:19" x14ac:dyDescent="0.35">
      <c r="A33">
        <v>61136.38</v>
      </c>
      <c r="B33">
        <v>152701.92000000001</v>
      </c>
      <c r="C33">
        <v>88218.23</v>
      </c>
      <c r="D33" s="1" t="s">
        <v>5</v>
      </c>
      <c r="E33">
        <v>97483.56</v>
      </c>
      <c r="J33" s="2" t="s">
        <v>1</v>
      </c>
      <c r="K33" s="2">
        <v>-2.6815968394751061E-2</v>
      </c>
      <c r="L33" s="2">
        <v>5.1028779938751379E-2</v>
      </c>
      <c r="M33" s="2">
        <v>-0.52550675181608542</v>
      </c>
      <c r="N33" s="2">
        <v>0.60175510784974762</v>
      </c>
      <c r="O33" s="2">
        <v>-0.12953157495169182</v>
      </c>
      <c r="P33" s="2">
        <v>7.5899638162189684E-2</v>
      </c>
      <c r="Q33" s="2">
        <v>-0.12953157495169182</v>
      </c>
      <c r="R33" s="2">
        <v>7.5899638162189684E-2</v>
      </c>
    </row>
    <row r="34" spans="1:19" ht="15" thickBot="1" x14ac:dyDescent="0.4">
      <c r="A34">
        <v>63408.86</v>
      </c>
      <c r="B34">
        <v>129219.61</v>
      </c>
      <c r="C34">
        <v>46085.25</v>
      </c>
      <c r="D34" s="1" t="s">
        <v>6</v>
      </c>
      <c r="E34">
        <v>97427.839999999997</v>
      </c>
      <c r="J34" s="3" t="s">
        <v>2</v>
      </c>
      <c r="K34" s="3">
        <v>2.7228064800818939E-2</v>
      </c>
      <c r="L34" s="3">
        <v>1.645123451799518E-2</v>
      </c>
      <c r="M34" s="3">
        <v>1.6550772995811058</v>
      </c>
      <c r="N34" s="3">
        <v>0.10471681926658105</v>
      </c>
      <c r="O34" s="3">
        <v>-5.8865527572449679E-3</v>
      </c>
      <c r="P34" s="3">
        <v>6.0342682358882849E-2</v>
      </c>
      <c r="Q34" s="3">
        <v>-5.8865527572449679E-3</v>
      </c>
      <c r="R34" s="3">
        <v>6.0342682358882849E-2</v>
      </c>
    </row>
    <row r="35" spans="1:19" x14ac:dyDescent="0.35">
      <c r="A35">
        <v>55493.95</v>
      </c>
      <c r="B35">
        <v>103057.49</v>
      </c>
      <c r="C35">
        <v>214634.81</v>
      </c>
      <c r="D35" s="1" t="s">
        <v>7</v>
      </c>
      <c r="E35">
        <v>96778.92</v>
      </c>
    </row>
    <row r="36" spans="1:19" x14ac:dyDescent="0.35">
      <c r="A36">
        <v>46426.07</v>
      </c>
      <c r="B36">
        <v>157693.92000000001</v>
      </c>
      <c r="C36">
        <v>210797.67</v>
      </c>
      <c r="D36" s="1" t="s">
        <v>6</v>
      </c>
      <c r="E36">
        <v>96712.8</v>
      </c>
    </row>
    <row r="37" spans="1:19" x14ac:dyDescent="0.35">
      <c r="A37">
        <v>46014.02</v>
      </c>
      <c r="B37">
        <v>85047.44</v>
      </c>
      <c r="C37">
        <v>205517.64</v>
      </c>
      <c r="D37" s="1" t="s">
        <v>5</v>
      </c>
      <c r="E37">
        <v>96479.51</v>
      </c>
    </row>
    <row r="38" spans="1:19" ht="23.5" x14ac:dyDescent="0.55000000000000004">
      <c r="A38">
        <v>28663.759999999998</v>
      </c>
      <c r="B38">
        <v>127056.21</v>
      </c>
      <c r="C38">
        <v>201126.82</v>
      </c>
      <c r="D38" s="1" t="s">
        <v>7</v>
      </c>
      <c r="E38">
        <v>90708.19</v>
      </c>
      <c r="J38" s="9" t="s">
        <v>32</v>
      </c>
      <c r="K38" s="10"/>
      <c r="L38" s="10"/>
      <c r="M38" s="10"/>
    </row>
    <row r="39" spans="1:19" x14ac:dyDescent="0.35">
      <c r="A39">
        <v>44069.95</v>
      </c>
      <c r="B39">
        <v>51283.14</v>
      </c>
      <c r="C39">
        <v>197029.42</v>
      </c>
      <c r="D39" s="1" t="s">
        <v>6</v>
      </c>
      <c r="E39">
        <v>89949.14</v>
      </c>
    </row>
    <row r="40" spans="1:19" x14ac:dyDescent="0.35">
      <c r="A40">
        <v>20229.59</v>
      </c>
      <c r="B40">
        <v>65947.929999999993</v>
      </c>
      <c r="C40">
        <v>185265.1</v>
      </c>
      <c r="D40" s="1" t="s">
        <v>5</v>
      </c>
      <c r="E40">
        <v>81229.06</v>
      </c>
      <c r="H40" s="6"/>
      <c r="I40" s="6"/>
      <c r="J40" s="11" t="s">
        <v>0</v>
      </c>
      <c r="K40" s="11" t="s">
        <v>1</v>
      </c>
      <c r="L40" s="11" t="s">
        <v>2</v>
      </c>
      <c r="M40" s="11" t="s">
        <v>4</v>
      </c>
      <c r="N40" s="6"/>
      <c r="O40" s="6"/>
      <c r="P40" s="6"/>
      <c r="Q40" s="6"/>
      <c r="R40" s="6"/>
      <c r="S40" s="6"/>
    </row>
    <row r="41" spans="1:19" x14ac:dyDescent="0.35">
      <c r="A41">
        <v>38558.51</v>
      </c>
      <c r="B41">
        <v>82982.09</v>
      </c>
      <c r="C41">
        <v>174999.3</v>
      </c>
      <c r="D41" s="1" t="s">
        <v>6</v>
      </c>
      <c r="E41">
        <v>81005.759999999995</v>
      </c>
      <c r="H41" s="6"/>
      <c r="I41" s="6"/>
      <c r="J41" s="12">
        <v>21892.92</v>
      </c>
      <c r="K41" s="12">
        <v>81910.77</v>
      </c>
      <c r="L41" s="12">
        <v>164270.70000000001</v>
      </c>
      <c r="M41" s="12">
        <f>((K32*J41)+(K33*K41)+(K34*L41)+K31)</f>
        <v>70037.904765432817</v>
      </c>
      <c r="N41" s="6"/>
      <c r="O41" s="6"/>
      <c r="P41" s="6"/>
      <c r="Q41" s="6"/>
      <c r="R41" s="6"/>
      <c r="S41" s="6"/>
    </row>
    <row r="42" spans="1:19" x14ac:dyDescent="0.35">
      <c r="A42">
        <v>28754.33</v>
      </c>
      <c r="B42">
        <v>118546.05</v>
      </c>
      <c r="C42">
        <v>172795.67</v>
      </c>
      <c r="D42" s="1" t="s">
        <v>6</v>
      </c>
      <c r="E42">
        <v>78239.91</v>
      </c>
      <c r="H42" s="6"/>
      <c r="I42" s="6"/>
      <c r="J42" s="12">
        <v>23940.93</v>
      </c>
      <c r="K42" s="12">
        <v>96489.63</v>
      </c>
      <c r="L42" s="12">
        <v>137001.1</v>
      </c>
      <c r="M42" s="12">
        <f>K32*J42+K33*K42+K34*L42+K31</f>
        <v>70554.572559926848</v>
      </c>
      <c r="N42" s="6"/>
      <c r="O42" s="6"/>
      <c r="P42" s="6"/>
      <c r="Q42" s="6"/>
      <c r="R42" s="6"/>
      <c r="S42" s="6"/>
    </row>
    <row r="43" spans="1:19" x14ac:dyDescent="0.35">
      <c r="A43">
        <v>27892.92</v>
      </c>
      <c r="B43">
        <v>84710.77</v>
      </c>
      <c r="C43">
        <v>164470.71</v>
      </c>
      <c r="D43" s="1" t="s">
        <v>7</v>
      </c>
      <c r="E43">
        <v>77798.83</v>
      </c>
      <c r="H43" s="6"/>
      <c r="I43" s="6"/>
      <c r="J43" s="12"/>
      <c r="K43" s="12"/>
      <c r="L43" s="12"/>
      <c r="M43" s="12"/>
      <c r="N43" s="6"/>
      <c r="O43" s="6"/>
      <c r="P43" s="6"/>
      <c r="Q43" s="6"/>
      <c r="R43" s="6"/>
      <c r="S43" s="6"/>
    </row>
    <row r="44" spans="1:19" x14ac:dyDescent="0.35">
      <c r="A44">
        <v>23640.93</v>
      </c>
      <c r="B44">
        <v>96189.63</v>
      </c>
      <c r="C44">
        <v>148001.10999999999</v>
      </c>
      <c r="D44" s="1" t="s">
        <v>6</v>
      </c>
      <c r="E44">
        <v>71498.490000000005</v>
      </c>
      <c r="H44" s="6"/>
      <c r="I44" s="6"/>
      <c r="J44" s="7"/>
      <c r="K44" s="7"/>
      <c r="L44" s="6"/>
      <c r="M44" s="6"/>
      <c r="N44" s="6"/>
      <c r="O44" s="6"/>
      <c r="P44" s="6"/>
      <c r="Q44" s="6"/>
      <c r="R44" s="6"/>
      <c r="S44" s="6"/>
    </row>
    <row r="45" spans="1:19" x14ac:dyDescent="0.35">
      <c r="A45">
        <v>15505.73</v>
      </c>
      <c r="B45">
        <v>127382.3</v>
      </c>
      <c r="C45">
        <v>35534.17</v>
      </c>
      <c r="D45" s="1" t="s">
        <v>5</v>
      </c>
      <c r="E45">
        <v>69758.98</v>
      </c>
      <c r="H45" s="6"/>
      <c r="I45" s="6"/>
      <c r="J45" s="2"/>
      <c r="K45" s="2"/>
      <c r="L45" s="6"/>
      <c r="M45" s="6"/>
      <c r="N45" s="6"/>
      <c r="O45" s="6"/>
      <c r="P45" s="6"/>
      <c r="Q45" s="6"/>
      <c r="R45" s="6"/>
      <c r="S45" s="6"/>
    </row>
    <row r="46" spans="1:19" x14ac:dyDescent="0.35">
      <c r="A46">
        <v>22177.74</v>
      </c>
      <c r="B46">
        <v>154806.14000000001</v>
      </c>
      <c r="C46">
        <v>28334.720000000001</v>
      </c>
      <c r="D46" s="1" t="s">
        <v>6</v>
      </c>
      <c r="E46">
        <v>65200.33</v>
      </c>
      <c r="H46" s="6"/>
      <c r="I46" s="6"/>
      <c r="J46" s="2"/>
      <c r="K46" s="2"/>
      <c r="L46" s="6"/>
      <c r="M46" s="6"/>
      <c r="N46" s="6"/>
      <c r="O46" s="6"/>
      <c r="P46" s="6"/>
      <c r="Q46" s="6"/>
      <c r="R46" s="6"/>
      <c r="S46" s="6"/>
    </row>
    <row r="47" spans="1:19" x14ac:dyDescent="0.35">
      <c r="A47">
        <v>1000.23</v>
      </c>
      <c r="B47">
        <v>124153.04</v>
      </c>
      <c r="C47">
        <v>1903.93</v>
      </c>
      <c r="D47" s="1" t="s">
        <v>5</v>
      </c>
      <c r="E47">
        <v>64926.080000000002</v>
      </c>
      <c r="H47" s="6"/>
      <c r="I47" s="6"/>
      <c r="J47" s="2"/>
      <c r="K47" s="2"/>
      <c r="L47" s="6"/>
      <c r="M47" s="6"/>
      <c r="N47" s="6"/>
      <c r="O47" s="6"/>
      <c r="P47" s="6"/>
      <c r="Q47" s="6"/>
      <c r="R47" s="6"/>
      <c r="S47" s="6"/>
    </row>
    <row r="48" spans="1:19" x14ac:dyDescent="0.35">
      <c r="A48">
        <v>1315.46</v>
      </c>
      <c r="B48">
        <v>115816.21</v>
      </c>
      <c r="C48">
        <v>297114.46000000002</v>
      </c>
      <c r="D48" s="1" t="s">
        <v>7</v>
      </c>
      <c r="E48">
        <v>49490.75</v>
      </c>
      <c r="H48" s="6"/>
      <c r="I48" s="6"/>
      <c r="J48" s="2"/>
      <c r="K48" s="2"/>
      <c r="L48" s="6"/>
      <c r="M48" s="6"/>
      <c r="N48" s="6"/>
      <c r="O48" s="6"/>
      <c r="P48" s="6"/>
      <c r="Q48" s="6"/>
      <c r="R48" s="6"/>
      <c r="S48" s="6"/>
    </row>
    <row r="49" spans="1:19" x14ac:dyDescent="0.35">
      <c r="A49">
        <v>0</v>
      </c>
      <c r="B49">
        <v>135426.92000000001</v>
      </c>
      <c r="C49">
        <v>0</v>
      </c>
      <c r="D49" s="1" t="s">
        <v>6</v>
      </c>
      <c r="E49">
        <v>42559.73</v>
      </c>
      <c r="H49" s="6"/>
      <c r="I49" s="6"/>
      <c r="J49" s="2"/>
      <c r="K49" s="2"/>
      <c r="L49" s="6"/>
      <c r="M49" s="6"/>
      <c r="N49" s="6"/>
      <c r="O49" s="6"/>
      <c r="P49" s="6"/>
      <c r="Q49" s="6"/>
      <c r="R49" s="6"/>
      <c r="S49" s="6"/>
    </row>
    <row r="50" spans="1:19" x14ac:dyDescent="0.35">
      <c r="A50">
        <v>542.04999999999995</v>
      </c>
      <c r="B50">
        <v>51743.15</v>
      </c>
      <c r="C50">
        <v>0</v>
      </c>
      <c r="D50" s="1" t="s">
        <v>5</v>
      </c>
      <c r="E50">
        <v>35673.410000000003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x14ac:dyDescent="0.35">
      <c r="A51">
        <v>0</v>
      </c>
      <c r="B51">
        <v>116983.8</v>
      </c>
      <c r="C51">
        <v>45173.06</v>
      </c>
      <c r="D51" s="1" t="s">
        <v>6</v>
      </c>
      <c r="E51">
        <v>14681.4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35">
      <c r="H52" s="6"/>
      <c r="I52" s="6"/>
      <c r="J52" s="8"/>
      <c r="K52" s="8"/>
      <c r="L52" s="8"/>
      <c r="M52" s="8"/>
      <c r="N52" s="8"/>
      <c r="O52" s="8"/>
      <c r="P52" s="6"/>
      <c r="Q52" s="6"/>
      <c r="R52" s="6"/>
      <c r="S52" s="6"/>
    </row>
    <row r="53" spans="1:19" x14ac:dyDescent="0.35">
      <c r="H53" s="6"/>
      <c r="I53" s="6"/>
      <c r="J53" s="2"/>
      <c r="K53" s="2"/>
      <c r="L53" s="2"/>
      <c r="M53" s="2"/>
      <c r="N53" s="2"/>
      <c r="O53" s="2"/>
      <c r="P53" s="6"/>
      <c r="Q53" s="6"/>
      <c r="R53" s="6"/>
      <c r="S53" s="6"/>
    </row>
    <row r="54" spans="1:19" x14ac:dyDescent="0.35">
      <c r="H54" s="6"/>
      <c r="I54" s="6"/>
      <c r="J54" s="2"/>
      <c r="K54" s="2"/>
      <c r="L54" s="2"/>
      <c r="M54" s="2"/>
      <c r="N54" s="2"/>
      <c r="O54" s="2"/>
      <c r="P54" s="6"/>
      <c r="Q54" s="6"/>
      <c r="R54" s="6"/>
      <c r="S54" s="6"/>
    </row>
    <row r="55" spans="1:19" x14ac:dyDescent="0.35">
      <c r="A55" s="6"/>
      <c r="B55" s="6"/>
      <c r="C55" s="6"/>
      <c r="D55" s="6"/>
      <c r="E55" s="6"/>
      <c r="F55" s="6"/>
      <c r="G55" s="6"/>
      <c r="H55" s="6"/>
      <c r="I55" s="6"/>
      <c r="J55" s="2"/>
      <c r="K55" s="2"/>
      <c r="L55" s="2"/>
      <c r="M55" s="2"/>
      <c r="N55" s="2"/>
      <c r="O55" s="2"/>
      <c r="P55" s="6"/>
      <c r="Q55" s="6"/>
      <c r="R55" s="6"/>
      <c r="S55" s="6"/>
    </row>
    <row r="56" spans="1:19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35">
      <c r="A58" s="7"/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35">
      <c r="A59" s="2"/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35">
      <c r="A60" s="2"/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35">
      <c r="A61" s="2"/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35">
      <c r="A62" s="2"/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x14ac:dyDescent="0.35">
      <c r="A63" s="2"/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x14ac:dyDescent="0.35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35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35">
      <c r="A66" s="8"/>
      <c r="B66" s="8"/>
      <c r="C66" s="8"/>
      <c r="D66" s="8"/>
      <c r="E66" s="8"/>
      <c r="F66" s="8"/>
      <c r="G66" s="6"/>
      <c r="H66" s="6"/>
      <c r="I66" s="6"/>
    </row>
    <row r="67" spans="1:9" x14ac:dyDescent="0.35">
      <c r="A67" s="2"/>
      <c r="B67" s="2"/>
      <c r="C67" s="2"/>
      <c r="D67" s="2"/>
      <c r="E67" s="2"/>
      <c r="F67" s="2"/>
      <c r="G67" s="6"/>
      <c r="H67" s="6"/>
      <c r="I67" s="6"/>
    </row>
    <row r="68" spans="1:9" x14ac:dyDescent="0.35">
      <c r="A68" s="2"/>
      <c r="B68" s="2"/>
      <c r="C68" s="2"/>
      <c r="D68" s="2"/>
      <c r="E68" s="2"/>
      <c r="F68" s="2"/>
      <c r="G68" s="6"/>
      <c r="H68" s="6"/>
      <c r="I68" s="6"/>
    </row>
    <row r="69" spans="1:9" x14ac:dyDescent="0.35">
      <c r="A69" s="2"/>
      <c r="B69" s="2"/>
      <c r="C69" s="2"/>
      <c r="D69" s="2"/>
      <c r="E69" s="2"/>
      <c r="F69" s="2"/>
      <c r="G69" s="6"/>
      <c r="H69" s="6"/>
      <c r="I69" s="6"/>
    </row>
    <row r="70" spans="1:9" x14ac:dyDescent="0.35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3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3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5">
      <c r="A76" s="6"/>
      <c r="B76" s="6"/>
      <c r="C76" s="6"/>
      <c r="D76" s="6"/>
      <c r="E76" s="6"/>
      <c r="F76" s="6"/>
      <c r="G76" s="6"/>
      <c r="H76" s="6"/>
      <c r="I76" s="6"/>
    </row>
    <row r="77" spans="1:9" x14ac:dyDescent="0.35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35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35">
      <c r="A79" s="6"/>
      <c r="B79" s="6"/>
      <c r="C79" s="6"/>
      <c r="D79" s="6"/>
      <c r="E79" s="6"/>
      <c r="F79" s="6"/>
      <c r="G79" s="6"/>
      <c r="H79" s="6"/>
      <c r="I79" s="6"/>
    </row>
  </sheetData>
  <mergeCells count="1">
    <mergeCell ref="J38:M3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2BBD-B7E2-4777-9754-85A8BBDC80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A7C66-CD43-41FE-9112-2982436C48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shaloni .</dc:creator>
  <cp:lastModifiedBy>shaloni .</cp:lastModifiedBy>
  <dcterms:created xsi:type="dcterms:W3CDTF">2026-09-26T16:25:40Z</dcterms:created>
  <dcterms:modified xsi:type="dcterms:W3CDTF">2026-09-26T17:39:46Z</dcterms:modified>
</cp:coreProperties>
</file>